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dgtr\OneDrive\Área de Trabalho\Pessoal\Curso Execel\"/>
    </mc:Choice>
  </mc:AlternateContent>
  <xr:revisionPtr revIDLastSave="0" documentId="13_ncr:1_{5FEA02DC-7B8E-4E84-8D02-5C5E1E58EFE6}" xr6:coauthVersionLast="47" xr6:coauthVersionMax="47" xr10:uidLastSave="{00000000-0000-0000-0000-000000000000}"/>
  <bookViews>
    <workbookView xWindow="-120" yWindow="-120" windowWidth="20730" windowHeight="11040" tabRatio="0" xr2:uid="{55C5825A-D6B1-4743-B208-75B5F904187B}"/>
  </bookViews>
  <sheets>
    <sheet name="Sheet" sheetId="2" r:id="rId1"/>
    <sheet name="Sheet_Base" sheetId="3" r:id="rId2"/>
  </sheets>
  <definedNames>
    <definedName name="aportes">Sheet!$C$10</definedName>
    <definedName name="qtd_anos">Sheet!$C$11</definedName>
    <definedName name="rendimento_carteira">Sheet!$C$6</definedName>
    <definedName name="salario">Sheet!$C$5</definedName>
    <definedName name="sugestao_investimento">Sheet!$C$7</definedName>
    <definedName name="taxa_mensal">Sheet!$C$12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2" l="1"/>
  <c r="D30" i="2" s="1"/>
  <c r="C31" i="2"/>
  <c r="D31" i="2" s="1"/>
  <c r="C32" i="2"/>
  <c r="D32" i="2" s="1"/>
  <c r="C33" i="2"/>
  <c r="D33" i="2" s="1"/>
  <c r="C34" i="2"/>
  <c r="D34" i="2" s="1"/>
  <c r="C29" i="2"/>
  <c r="D29" i="2" s="1"/>
  <c r="A10" i="3"/>
  <c r="A11" i="3"/>
  <c r="A12" i="3"/>
  <c r="A13" i="3"/>
  <c r="A14" i="3"/>
  <c r="A15" i="3"/>
  <c r="A16" i="3"/>
  <c r="A17" i="3"/>
  <c r="A18" i="3"/>
  <c r="A19" i="3"/>
  <c r="A20" i="3"/>
  <c r="A21" i="3"/>
  <c r="A5" i="3"/>
  <c r="A6" i="3"/>
  <c r="A7" i="3"/>
  <c r="A8" i="3"/>
  <c r="A9" i="3"/>
  <c r="A4" i="3"/>
  <c r="C26" i="2"/>
  <c r="C7" i="2"/>
  <c r="C19" i="2"/>
  <c r="D19" i="2" s="1"/>
  <c r="C20" i="2"/>
  <c r="D20" i="2" s="1"/>
  <c r="C21" i="2"/>
  <c r="D21" i="2" s="1"/>
  <c r="C22" i="2"/>
  <c r="D22" i="2" s="1"/>
  <c r="C18" i="2"/>
  <c r="D18" i="2" s="1"/>
  <c r="C13" i="2"/>
  <c r="C14" i="2" s="1"/>
  <c r="D35" i="2" l="1"/>
</calcChain>
</file>

<file path=xl/sharedStrings.xml><?xml version="1.0" encoding="utf-8"?>
<sst xmlns="http://schemas.openxmlformats.org/spreadsheetml/2006/main" count="70" uniqueCount="34">
  <si>
    <t>Quanto investir por mês?</t>
  </si>
  <si>
    <t>Por Quantos Anos ?</t>
  </si>
  <si>
    <t>Taxa de Rendimento Mensal?</t>
  </si>
  <si>
    <t>Patrimonio acumulado ?</t>
  </si>
  <si>
    <t>Dividendos Mensais ?</t>
  </si>
  <si>
    <t xml:space="preserve">Investimento Mensal </t>
  </si>
  <si>
    <t>Cenários</t>
  </si>
  <si>
    <t>Quanto em 2 anos?</t>
  </si>
  <si>
    <t>Quanto em 5 anos?</t>
  </si>
  <si>
    <t>Quanto em 10 anos?</t>
  </si>
  <si>
    <t>Quanto em 20 anos?</t>
  </si>
  <si>
    <t>Quanto em 30 anos?</t>
  </si>
  <si>
    <t>Dividendos</t>
  </si>
  <si>
    <t xml:space="preserve">Configurações </t>
  </si>
  <si>
    <t xml:space="preserve">Salário </t>
  </si>
  <si>
    <t>Sugestão de Investimento</t>
  </si>
  <si>
    <t xml:space="preserve">Rendimento Carteira </t>
  </si>
  <si>
    <t xml:space="preserve">Perfil </t>
  </si>
  <si>
    <t>Agressivo</t>
  </si>
  <si>
    <t>Moderado</t>
  </si>
  <si>
    <t xml:space="preserve">Conservador </t>
  </si>
  <si>
    <t xml:space="preserve">Valor a ser investido por mês </t>
  </si>
  <si>
    <t xml:space="preserve">Tipo de FIIs </t>
  </si>
  <si>
    <t>Percentual Sugerido</t>
  </si>
  <si>
    <t xml:space="preserve">Valores </t>
  </si>
  <si>
    <t>Papel</t>
  </si>
  <si>
    <t>Tijolo</t>
  </si>
  <si>
    <t xml:space="preserve">Hidridos </t>
  </si>
  <si>
    <t>FOFs</t>
  </si>
  <si>
    <t xml:space="preserve">Desenvolvimentos </t>
  </si>
  <si>
    <t>Hotelarias</t>
  </si>
  <si>
    <t>%</t>
  </si>
  <si>
    <t xml:space="preserve">Chave </t>
  </si>
  <si>
    <t xml:space="preserve">Patrimonio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</si>
</sst>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Arial Black"/>
      <family val="2"/>
    </font>
    <font>
      <b/>
      <sz val="11"/>
      <color theme="0"/>
      <name val="Arial Black"/>
      <family val="2"/>
    </font>
    <font>
      <sz val="10"/>
      <color theme="1"/>
      <name val="Arial Black"/>
      <family val="2"/>
    </font>
    <font>
      <b/>
      <sz val="10"/>
      <color theme="1"/>
      <name val="Arial Black"/>
      <family val="2"/>
    </font>
    <font>
      <b/>
      <sz val="10"/>
      <color theme="0"/>
      <name val="Arial Black"/>
      <family val="2"/>
    </font>
    <font>
      <sz val="11"/>
      <color theme="0"/>
      <name val="Arial Black"/>
      <family val="2"/>
    </font>
    <font>
      <sz val="20"/>
      <color theme="0"/>
      <name val="Arial Black"/>
      <family val="2"/>
    </font>
    <font>
      <sz val="10"/>
      <name val="Arial Black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0" fillId="2" borderId="0" xfId="0" applyFill="1"/>
    <xf numFmtId="0" fontId="3" fillId="2" borderId="0" xfId="0" applyFont="1" applyFill="1"/>
    <xf numFmtId="0" fontId="8" fillId="2" borderId="1" xfId="0" applyFont="1" applyFill="1" applyBorder="1"/>
    <xf numFmtId="0" fontId="3" fillId="0" borderId="0" xfId="0" applyFont="1"/>
    <xf numFmtId="9" fontId="0" fillId="0" borderId="0" xfId="2" applyFont="1" applyAlignment="1">
      <alignment horizontal="center"/>
    </xf>
    <xf numFmtId="0" fontId="6" fillId="4" borderId="1" xfId="0" applyFont="1" applyFill="1" applyBorder="1"/>
    <xf numFmtId="0" fontId="7" fillId="4" borderId="1" xfId="0" applyFont="1" applyFill="1" applyBorder="1"/>
    <xf numFmtId="0" fontId="7" fillId="0" borderId="0" xfId="0" applyFont="1"/>
    <xf numFmtId="8" fontId="7" fillId="0" borderId="0" xfId="0" applyNumberFormat="1" applyFont="1"/>
    <xf numFmtId="0" fontId="4" fillId="2" borderId="3" xfId="0" applyFont="1" applyFill="1" applyBorder="1"/>
    <xf numFmtId="0" fontId="8" fillId="2" borderId="1" xfId="0" applyFont="1" applyFill="1" applyBorder="1" applyAlignment="1">
      <alignment horizontal="center"/>
    </xf>
    <xf numFmtId="0" fontId="8" fillId="2" borderId="0" xfId="0" applyFont="1" applyFill="1"/>
    <xf numFmtId="0" fontId="0" fillId="0" borderId="4" xfId="0" applyBorder="1"/>
    <xf numFmtId="9" fontId="0" fillId="0" borderId="4" xfId="2" applyFont="1" applyBorder="1" applyAlignment="1">
      <alignment horizontal="center"/>
    </xf>
    <xf numFmtId="164" fontId="2" fillId="2" borderId="0" xfId="0" applyNumberFormat="1" applyFont="1" applyFill="1"/>
    <xf numFmtId="164" fontId="6" fillId="4" borderId="1" xfId="0" applyNumberFormat="1" applyFont="1" applyFill="1" applyBorder="1"/>
    <xf numFmtId="9" fontId="6" fillId="4" borderId="1" xfId="2" applyFont="1" applyFill="1" applyBorder="1" applyAlignment="1">
      <alignment horizontal="center"/>
    </xf>
    <xf numFmtId="8" fontId="7" fillId="4" borderId="1" xfId="0" applyNumberFormat="1" applyFont="1" applyFill="1" applyBorder="1"/>
    <xf numFmtId="0" fontId="5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10" fontId="6" fillId="6" borderId="1" xfId="2" applyNumberFormat="1" applyFont="1" applyFill="1" applyBorder="1" applyAlignment="1" applyProtection="1">
      <alignment horizontal="center"/>
      <protection locked="0"/>
    </xf>
    <xf numFmtId="164" fontId="11" fillId="4" borderId="1" xfId="1" applyNumberFormat="1" applyFont="1" applyFill="1" applyBorder="1" applyAlignment="1">
      <alignment horizontal="center"/>
    </xf>
    <xf numFmtId="0" fontId="8" fillId="5" borderId="3" xfId="0" applyFont="1" applyFill="1" applyBorder="1" applyAlignment="1" applyProtection="1">
      <alignment horizontal="center"/>
      <protection locked="0"/>
    </xf>
    <xf numFmtId="0" fontId="8" fillId="5" borderId="2" xfId="0" applyFont="1" applyFill="1" applyBorder="1" applyAlignment="1" applyProtection="1">
      <alignment horizontal="center"/>
      <protection locked="0"/>
    </xf>
    <xf numFmtId="164" fontId="7" fillId="4" borderId="3" xfId="1" applyNumberFormat="1" applyFont="1" applyFill="1" applyBorder="1" applyAlignment="1">
      <alignment horizontal="center"/>
    </xf>
    <xf numFmtId="164" fontId="7" fillId="4" borderId="2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164" fontId="7" fillId="6" borderId="1" xfId="1" applyNumberFormat="1" applyFont="1" applyFill="1" applyBorder="1" applyAlignment="1" applyProtection="1">
      <alignment horizontal="center"/>
      <protection locked="0"/>
    </xf>
    <xf numFmtId="0" fontId="7" fillId="6" borderId="1" xfId="0" applyFont="1" applyFill="1" applyBorder="1" applyAlignment="1" applyProtection="1">
      <alignment horizontal="center"/>
      <protection locked="0"/>
    </xf>
    <xf numFmtId="10" fontId="7" fillId="6" borderId="1" xfId="2" applyNumberFormat="1" applyFont="1" applyFill="1" applyBorder="1" applyAlignment="1" applyProtection="1">
      <alignment horizontal="center"/>
      <protection locked="0"/>
    </xf>
    <xf numFmtId="8" fontId="8" fillId="2" borderId="1" xfId="0" applyNumberFormat="1" applyFont="1" applyFill="1" applyBorder="1" applyAlignment="1">
      <alignment horizontal="center"/>
    </xf>
    <xf numFmtId="0" fontId="10" fillId="3" borderId="1" xfId="0" applyFont="1" applyFill="1" applyBorder="1" applyAlignment="1">
      <alignment horizontal="left"/>
    </xf>
    <xf numFmtId="164" fontId="6" fillId="6" borderId="1" xfId="1" applyNumberFormat="1" applyFont="1" applyFill="1" applyBorder="1" applyAlignment="1" applyProtection="1">
      <alignment horizontal="center"/>
      <protection locked="0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pt-BR" sz="1800">
                <a:solidFill>
                  <a:schemeClr val="tx1"/>
                </a:solidFill>
                <a:latin typeface="Arial Black" panose="020B0A04020102020204" pitchFamily="34" charset="0"/>
              </a:rPr>
              <a:t>Analise Gráfica Patrimonio</a:t>
            </a:r>
            <a:r>
              <a:rPr lang="pt-BR" sz="1800" baseline="0">
                <a:solidFill>
                  <a:schemeClr val="tx1"/>
                </a:solidFill>
                <a:latin typeface="Arial Black" panose="020B0A04020102020204" pitchFamily="34" charset="0"/>
              </a:rPr>
              <a:t> Acumulado</a:t>
            </a:r>
            <a:r>
              <a:rPr lang="pt-BR" sz="1800">
                <a:solidFill>
                  <a:schemeClr val="tx1"/>
                </a:solidFill>
                <a:latin typeface="Arial Black" panose="020B0A04020102020204" pitchFamily="34" charset="0"/>
              </a:rPr>
              <a:t>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Sheet!$B$18:$B$22</c:f>
              <c:strCache>
                <c:ptCount val="5"/>
                <c:pt idx="0">
                  <c:v>Quanto em 2 anos?</c:v>
                </c:pt>
                <c:pt idx="1">
                  <c:v>Quanto em 5 anos?</c:v>
                </c:pt>
                <c:pt idx="2">
                  <c:v>Quanto em 10 anos?</c:v>
                </c:pt>
                <c:pt idx="3">
                  <c:v>Quanto em 20 anos?</c:v>
                </c:pt>
                <c:pt idx="4">
                  <c:v>Quanto em 30 anos?</c:v>
                </c:pt>
              </c:strCache>
            </c:strRef>
          </c:cat>
          <c:val>
            <c:numRef>
              <c:f>Sheet!$C$18:$C$22</c:f>
              <c:numCache>
                <c:formatCode>"R$"#,##0.00_);[Red]\("R$"#,##0.00\)</c:formatCode>
                <c:ptCount val="5"/>
                <c:pt idx="0">
                  <c:v>13312.243205723968</c:v>
                </c:pt>
                <c:pt idx="1">
                  <c:v>39422.299984220903</c:v>
                </c:pt>
                <c:pt idx="2">
                  <c:v>106507.89567005893</c:v>
                </c:pt>
                <c:pt idx="3">
                  <c:v>414937.77809325984</c:v>
                </c:pt>
                <c:pt idx="4">
                  <c:v>1308101.5362645874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E6-45EF-BEF2-DDDD1D9F7A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1956864"/>
        <c:axId val="381957192"/>
      </c:lineChart>
      <c:catAx>
        <c:axId val="381956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1957192"/>
        <c:crosses val="autoZero"/>
        <c:auto val="1"/>
        <c:lblAlgn val="ctr"/>
        <c:lblOffset val="100"/>
        <c:noMultiLvlLbl val="0"/>
      </c:catAx>
      <c:valAx>
        <c:axId val="381957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38195686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6359334168216983"/>
          <c:y val="6.5633033640373969E-2"/>
          <c:w val="0.57141995371945498"/>
          <c:h val="0.8700115082831166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088-42B8-ADC6-3AF0B1FB166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12-411C-913F-314C71F3D70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088-42B8-ADC6-3AF0B1FB166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088-42B8-ADC6-3AF0B1FB166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112-411C-913F-314C71F3D70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088-42B8-ADC6-3AF0B1FB1666}"/>
              </c:ext>
            </c:extLst>
          </c:dPt>
          <c:cat>
            <c:strRef>
              <c:f>Sheet!$B$29:$B$34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Hidridos </c:v>
                </c:pt>
                <c:pt idx="3">
                  <c:v>FOFs</c:v>
                </c:pt>
                <c:pt idx="4">
                  <c:v>Desenvolvimentos </c:v>
                </c:pt>
                <c:pt idx="5">
                  <c:v>Hotelarias</c:v>
                </c:pt>
              </c:strCache>
            </c:strRef>
          </c:cat>
          <c:val>
            <c:numRef>
              <c:f>Sheet!$C$29:$C$34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12-411C-913F-314C71F3D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281402845843317E-2"/>
          <c:y val="4.8618592719748034E-2"/>
          <c:w val="0.22103846497228716"/>
          <c:h val="0.91638814417224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180974</xdr:colOff>
      <xdr:row>0</xdr:row>
      <xdr:rowOff>0</xdr:rowOff>
    </xdr:from>
    <xdr:to>
      <xdr:col>1</xdr:col>
      <xdr:colOff>828674</xdr:colOff>
      <xdr:row>0</xdr:row>
      <xdr:rowOff>1247774</xdr:rowOff>
    </xdr:to>
    <xdr:pic>
      <xdr:nvPicPr>
        <xdr:cNvPr id="3" name="Gráfico 2" descr="Tendência ascendente com preenchimento sólido">
          <a:extLst>
            <a:ext uri="{FF2B5EF4-FFF2-40B4-BE49-F238E27FC236}">
              <a16:creationId xmlns:a16="http://schemas.microsoft.com/office/drawing/2014/main" id="{51A9A8F3-0FFC-4E0D-ADA2-D693C9FE9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80974" y="0"/>
          <a:ext cx="1247775" cy="1247774"/>
        </a:xfrm>
        <a:prstGeom prst="rect">
          <a:avLst/>
        </a:prstGeom>
      </xdr:spPr>
    </xdr:pic>
    <xdr:clientData/>
  </xdr:twoCellAnchor>
  <xdr:twoCellAnchor editAs="absolute">
    <xdr:from>
      <xdr:col>1</xdr:col>
      <xdr:colOff>933450</xdr:colOff>
      <xdr:row>0</xdr:row>
      <xdr:rowOff>123824</xdr:rowOff>
    </xdr:from>
    <xdr:to>
      <xdr:col>4</xdr:col>
      <xdr:colOff>1597269</xdr:colOff>
      <xdr:row>0</xdr:row>
      <xdr:rowOff>1104899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80928ABD-F707-42C6-8A5D-D4DBE70C2683}"/>
            </a:ext>
          </a:extLst>
        </xdr:cNvPr>
        <xdr:cNvSpPr txBox="1"/>
      </xdr:nvSpPr>
      <xdr:spPr>
        <a:xfrm>
          <a:off x="1504950" y="123824"/>
          <a:ext cx="5667375" cy="98107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6000">
              <a:solidFill>
                <a:schemeClr val="bg1"/>
              </a:solidFill>
              <a:latin typeface="Arial Black" panose="020B0A04020102020204" pitchFamily="34" charset="0"/>
            </a:rPr>
            <a:t>DIO</a:t>
          </a:r>
          <a:r>
            <a:rPr lang="pt-BR" sz="6000" baseline="0">
              <a:solidFill>
                <a:schemeClr val="bg1"/>
              </a:solidFill>
              <a:latin typeface="Arial Black" panose="020B0A04020102020204" pitchFamily="34" charset="0"/>
            </a:rPr>
            <a:t> INVEST </a:t>
          </a:r>
          <a:endParaRPr lang="pt-BR" sz="60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1</xdr:col>
      <xdr:colOff>866775</xdr:colOff>
      <xdr:row>0</xdr:row>
      <xdr:rowOff>28575</xdr:rowOff>
    </xdr:from>
    <xdr:to>
      <xdr:col>1</xdr:col>
      <xdr:colOff>923925</xdr:colOff>
      <xdr:row>0</xdr:row>
      <xdr:rowOff>1266825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0A2098FB-E755-4B5E-B7C5-69DA850F5FA5}"/>
            </a:ext>
          </a:extLst>
        </xdr:cNvPr>
        <xdr:cNvSpPr/>
      </xdr:nvSpPr>
      <xdr:spPr>
        <a:xfrm>
          <a:off x="1438275" y="28575"/>
          <a:ext cx="57150" cy="1238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</xdr:col>
      <xdr:colOff>76199</xdr:colOff>
      <xdr:row>35</xdr:row>
      <xdr:rowOff>182810</xdr:rowOff>
    </xdr:from>
    <xdr:to>
      <xdr:col>7</xdr:col>
      <xdr:colOff>35170</xdr:colOff>
      <xdr:row>50</xdr:row>
      <xdr:rowOff>68510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5893460-AF97-4C23-AAAE-C599BA9AA5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139212</xdr:colOff>
      <xdr:row>24</xdr:row>
      <xdr:rowOff>5861</xdr:rowOff>
    </xdr:from>
    <xdr:to>
      <xdr:col>6</xdr:col>
      <xdr:colOff>545855</xdr:colOff>
      <xdr:row>35</xdr:row>
      <xdr:rowOff>21981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CEEED79-6B74-4F3E-9549-82A6F45994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AAA72-7E31-4279-A2ED-5570D843E507}">
  <sheetPr>
    <tabColor theme="9"/>
  </sheetPr>
  <dimension ref="A1:XFC54"/>
  <sheetViews>
    <sheetView showGridLines="0" tabSelected="1" zoomScale="130" zoomScaleNormal="130" workbookViewId="0">
      <selection activeCell="F10" sqref="F10"/>
    </sheetView>
  </sheetViews>
  <sheetFormatPr defaultColWidth="0" defaultRowHeight="15" x14ac:dyDescent="0.25"/>
  <cols>
    <col min="1" max="1" width="9" customWidth="1"/>
    <col min="2" max="2" width="37.42578125" customWidth="1"/>
    <col min="3" max="3" width="22.7109375" bestFit="1" customWidth="1"/>
    <col min="4" max="4" width="14.85546875" bestFit="1" customWidth="1"/>
    <col min="5" max="5" width="28.85546875" bestFit="1" customWidth="1"/>
    <col min="6" max="6" width="14.7109375" bestFit="1" customWidth="1"/>
    <col min="7" max="7" width="8.85546875" customWidth="1"/>
    <col min="8" max="8" width="8.140625" customWidth="1"/>
    <col min="9" max="9" width="15.28515625" hidden="1"/>
    <col min="10" max="10" width="29.28515625" hidden="1"/>
    <col min="11" max="16383" width="9.140625" hidden="1"/>
    <col min="16384" max="16384" width="2.42578125" hidden="1" customWidth="1"/>
  </cols>
  <sheetData>
    <row r="1" spans="2:4" s="1" customFormat="1" ht="101.25" customHeight="1" x14ac:dyDescent="0.25"/>
    <row r="4" spans="2:4" ht="31.5" x14ac:dyDescent="0.6">
      <c r="B4" s="32" t="s">
        <v>13</v>
      </c>
      <c r="C4" s="32"/>
      <c r="D4" s="32"/>
    </row>
    <row r="5" spans="2:4" ht="15.75" x14ac:dyDescent="0.3">
      <c r="B5" s="6" t="s">
        <v>14</v>
      </c>
      <c r="C5" s="33">
        <v>3100</v>
      </c>
      <c r="D5" s="33"/>
    </row>
    <row r="6" spans="2:4" ht="15.75" x14ac:dyDescent="0.3">
      <c r="B6" s="6" t="s">
        <v>16</v>
      </c>
      <c r="C6" s="21">
        <v>0.01</v>
      </c>
      <c r="D6" s="21"/>
    </row>
    <row r="7" spans="2:4" ht="15.75" x14ac:dyDescent="0.3">
      <c r="B7" s="6" t="s">
        <v>15</v>
      </c>
      <c r="C7" s="22">
        <f>C5*30%</f>
        <v>930</v>
      </c>
      <c r="D7" s="22"/>
    </row>
    <row r="9" spans="2:4" ht="31.5" x14ac:dyDescent="0.6">
      <c r="B9" s="27" t="s">
        <v>5</v>
      </c>
      <c r="C9" s="27"/>
      <c r="D9" s="27"/>
    </row>
    <row r="10" spans="2:4" ht="15.75" x14ac:dyDescent="0.3">
      <c r="B10" s="6" t="s">
        <v>0</v>
      </c>
      <c r="C10" s="28">
        <v>500</v>
      </c>
      <c r="D10" s="28"/>
    </row>
    <row r="11" spans="2:4" ht="15.75" x14ac:dyDescent="0.3">
      <c r="B11" s="6" t="s">
        <v>1</v>
      </c>
      <c r="C11" s="29">
        <v>10</v>
      </c>
      <c r="D11" s="29"/>
    </row>
    <row r="12" spans="2:4" ht="15.75" x14ac:dyDescent="0.3">
      <c r="B12" s="6" t="s">
        <v>2</v>
      </c>
      <c r="C12" s="30">
        <v>8.8999999999999999E-3</v>
      </c>
      <c r="D12" s="30"/>
    </row>
    <row r="13" spans="2:4" ht="15.75" x14ac:dyDescent="0.3">
      <c r="B13" s="3" t="s">
        <v>3</v>
      </c>
      <c r="C13" s="31">
        <f>FV(C12,C11*12,C10*-1)</f>
        <v>106507.89567005893</v>
      </c>
      <c r="D13" s="31"/>
    </row>
    <row r="14" spans="2:4" ht="15.75" x14ac:dyDescent="0.3">
      <c r="B14" s="3" t="s">
        <v>4</v>
      </c>
      <c r="C14" s="31">
        <f>C13*1%</f>
        <v>1065.0789567005893</v>
      </c>
      <c r="D14" s="31"/>
    </row>
    <row r="17" spans="1:4" ht="31.5" x14ac:dyDescent="0.6">
      <c r="B17" s="10" t="s">
        <v>6</v>
      </c>
      <c r="C17" s="19" t="s">
        <v>33</v>
      </c>
      <c r="D17" s="20" t="s">
        <v>12</v>
      </c>
    </row>
    <row r="18" spans="1:4" ht="15.75" x14ac:dyDescent="0.3">
      <c r="A18" s="4">
        <v>2</v>
      </c>
      <c r="B18" s="7" t="s">
        <v>7</v>
      </c>
      <c r="C18" s="18">
        <f>FV($C$12,$A18*12,$C$10*-1)</f>
        <v>13312.243205723968</v>
      </c>
      <c r="D18" s="18">
        <f>C18*$C$6</f>
        <v>133.12243205723968</v>
      </c>
    </row>
    <row r="19" spans="1:4" ht="15.75" x14ac:dyDescent="0.3">
      <c r="A19" s="4">
        <v>5</v>
      </c>
      <c r="B19" s="7" t="s">
        <v>8</v>
      </c>
      <c r="C19" s="18">
        <f t="shared" ref="C19:C22" si="0">FV($C$12,$A19*12,$C$10*-1)</f>
        <v>39422.299984220903</v>
      </c>
      <c r="D19" s="18">
        <f>C19*$C$6</f>
        <v>394.22299984220905</v>
      </c>
    </row>
    <row r="20" spans="1:4" ht="15.75" x14ac:dyDescent="0.3">
      <c r="A20" s="4">
        <v>10</v>
      </c>
      <c r="B20" s="7" t="s">
        <v>9</v>
      </c>
      <c r="C20" s="18">
        <f t="shared" si="0"/>
        <v>106507.89567005893</v>
      </c>
      <c r="D20" s="18">
        <f>C20*$C$6</f>
        <v>1065.0789567005893</v>
      </c>
    </row>
    <row r="21" spans="1:4" ht="15.75" x14ac:dyDescent="0.3">
      <c r="A21" s="4">
        <v>20</v>
      </c>
      <c r="B21" s="7" t="s">
        <v>10</v>
      </c>
      <c r="C21" s="18">
        <f t="shared" si="0"/>
        <v>414937.77809325984</v>
      </c>
      <c r="D21" s="18">
        <f>C21*$C$6</f>
        <v>4149.3777809325984</v>
      </c>
    </row>
    <row r="22" spans="1:4" ht="15.75" x14ac:dyDescent="0.3">
      <c r="A22" s="4">
        <v>30</v>
      </c>
      <c r="B22" s="7" t="s">
        <v>11</v>
      </c>
      <c r="C22" s="18">
        <f t="shared" si="0"/>
        <v>1308101.5362645874</v>
      </c>
      <c r="D22" s="18">
        <f>C22*$C$6</f>
        <v>13081.015362645874</v>
      </c>
    </row>
    <row r="23" spans="1:4" ht="15.75" x14ac:dyDescent="0.3">
      <c r="A23" s="4"/>
      <c r="B23" s="8"/>
      <c r="C23" s="9"/>
      <c r="D23" s="9"/>
    </row>
    <row r="24" spans="1:4" ht="15.75" x14ac:dyDescent="0.3">
      <c r="A24" s="4"/>
      <c r="B24" s="8"/>
      <c r="C24" s="9"/>
      <c r="D24" s="9"/>
    </row>
    <row r="25" spans="1:4" ht="15.75" x14ac:dyDescent="0.3">
      <c r="B25" s="3" t="s">
        <v>17</v>
      </c>
      <c r="C25" s="23" t="s">
        <v>19</v>
      </c>
      <c r="D25" s="24"/>
    </row>
    <row r="26" spans="1:4" ht="15.75" x14ac:dyDescent="0.3">
      <c r="B26" s="6" t="s">
        <v>21</v>
      </c>
      <c r="C26" s="25">
        <f>sugestao_investimento</f>
        <v>930</v>
      </c>
      <c r="D26" s="26"/>
    </row>
    <row r="28" spans="1:4" ht="15.75" x14ac:dyDescent="0.3">
      <c r="B28" s="3" t="s">
        <v>22</v>
      </c>
      <c r="C28" s="11" t="s">
        <v>23</v>
      </c>
      <c r="D28" s="11" t="s">
        <v>24</v>
      </c>
    </row>
    <row r="29" spans="1:4" ht="15.75" x14ac:dyDescent="0.3">
      <c r="B29" s="6" t="s">
        <v>25</v>
      </c>
      <c r="C29" s="17">
        <f>VLOOKUP($C$25&amp;"-"&amp;B29,Sheet_Base!$A:$D,4,FALSE)</f>
        <v>0.32</v>
      </c>
      <c r="D29" s="16">
        <f>C29*$C$26</f>
        <v>297.60000000000002</v>
      </c>
    </row>
    <row r="30" spans="1:4" ht="15.75" x14ac:dyDescent="0.3">
      <c r="B30" s="6" t="s">
        <v>26</v>
      </c>
      <c r="C30" s="17">
        <f>VLOOKUP($C$25&amp;"-"&amp;B30,Sheet_Base!$A:$D,4,FALSE)</f>
        <v>0.35</v>
      </c>
      <c r="D30" s="16">
        <f t="shared" ref="D30:D34" si="1">C30*$C$26</f>
        <v>325.5</v>
      </c>
    </row>
    <row r="31" spans="1:4" ht="15.75" x14ac:dyDescent="0.3">
      <c r="B31" s="6" t="s">
        <v>27</v>
      </c>
      <c r="C31" s="17">
        <f>VLOOKUP($C$25&amp;"-"&amp;B31,Sheet_Base!$A:$D,4,FALSE)</f>
        <v>0.08</v>
      </c>
      <c r="D31" s="16">
        <f t="shared" si="1"/>
        <v>74.400000000000006</v>
      </c>
    </row>
    <row r="32" spans="1:4" ht="15.75" x14ac:dyDescent="0.3">
      <c r="B32" s="6" t="s">
        <v>28</v>
      </c>
      <c r="C32" s="17">
        <f>VLOOKUP($C$25&amp;"-"&amp;B32,Sheet_Base!$A:$D,4,FALSE)</f>
        <v>0.05</v>
      </c>
      <c r="D32" s="16">
        <f t="shared" si="1"/>
        <v>46.5</v>
      </c>
    </row>
    <row r="33" spans="2:4" ht="15.75" x14ac:dyDescent="0.3">
      <c r="B33" s="6" t="s">
        <v>29</v>
      </c>
      <c r="C33" s="17">
        <f>VLOOKUP($C$25&amp;"-"&amp;B33,Sheet_Base!$A:$D,4,FALSE)</f>
        <v>0.1</v>
      </c>
      <c r="D33" s="16">
        <f t="shared" si="1"/>
        <v>93</v>
      </c>
    </row>
    <row r="34" spans="2:4" ht="15.75" x14ac:dyDescent="0.3">
      <c r="B34" s="6" t="s">
        <v>30</v>
      </c>
      <c r="C34" s="17">
        <f>VLOOKUP($C$25&amp;"-"&amp;B34,Sheet_Base!$A:$D,4,FALSE)</f>
        <v>0.1</v>
      </c>
      <c r="D34" s="16">
        <f t="shared" si="1"/>
        <v>93</v>
      </c>
    </row>
    <row r="35" spans="2:4" x14ac:dyDescent="0.25">
      <c r="B35" s="2"/>
      <c r="C35" s="2"/>
      <c r="D35" s="15">
        <f>SUM(D29:D34)</f>
        <v>930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</sheetData>
  <sheetProtection selectLockedCells="1" selectUnlockedCells="1"/>
  <mergeCells count="12">
    <mergeCell ref="B4:D4"/>
    <mergeCell ref="C5:D5"/>
    <mergeCell ref="C6:D6"/>
    <mergeCell ref="C7:D7"/>
    <mergeCell ref="C25:D25"/>
    <mergeCell ref="C26:D26"/>
    <mergeCell ref="B9:D9"/>
    <mergeCell ref="C10:D10"/>
    <mergeCell ref="C11:D11"/>
    <mergeCell ref="C12:D12"/>
    <mergeCell ref="C13:D13"/>
    <mergeCell ref="C14:D14"/>
  </mergeCells>
  <dataValidations count="1">
    <dataValidation type="list" allowBlank="1" showInputMessage="1" showErrorMessage="1" sqref="C25" xr:uid="{9B3EC66A-F7CB-41A6-9733-E2DDE00E3BE8}">
      <formula1>"Agressivo, Moderado, Conservador 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F4968-4F89-405C-B6B9-A72D5C09F7F2}">
  <sheetPr>
    <tabColor rgb="FFFF0000"/>
  </sheetPr>
  <dimension ref="A3:D21"/>
  <sheetViews>
    <sheetView workbookViewId="0">
      <selection activeCell="D14" sqref="D14"/>
    </sheetView>
  </sheetViews>
  <sheetFormatPr defaultRowHeight="15" x14ac:dyDescent="0.25"/>
  <cols>
    <col min="1" max="1" width="31" bestFit="1" customWidth="1"/>
    <col min="2" max="2" width="12.5703125" bestFit="1" customWidth="1"/>
    <col min="3" max="3" width="18.28515625" bestFit="1" customWidth="1"/>
  </cols>
  <sheetData>
    <row r="3" spans="1:4" ht="15.75" x14ac:dyDescent="0.3">
      <c r="A3" t="s">
        <v>32</v>
      </c>
      <c r="B3" s="3" t="s">
        <v>17</v>
      </c>
      <c r="C3" s="12" t="s">
        <v>22</v>
      </c>
      <c r="D3" t="s">
        <v>31</v>
      </c>
    </row>
    <row r="4" spans="1:4" x14ac:dyDescent="0.25">
      <c r="A4" t="str">
        <f>B4&amp;"-"&amp;C4</f>
        <v>Conservador -Papel</v>
      </c>
      <c r="B4" t="s">
        <v>20</v>
      </c>
      <c r="C4" t="s">
        <v>25</v>
      </c>
      <c r="D4" s="5">
        <v>0.3</v>
      </c>
    </row>
    <row r="5" spans="1:4" x14ac:dyDescent="0.25">
      <c r="A5" t="str">
        <f t="shared" ref="A5:A21" si="0">B5&amp;"-"&amp;C5</f>
        <v>Conservador -Tijolo</v>
      </c>
      <c r="B5" t="s">
        <v>20</v>
      </c>
      <c r="C5" t="s">
        <v>26</v>
      </c>
      <c r="D5" s="5">
        <v>0.5</v>
      </c>
    </row>
    <row r="6" spans="1:4" x14ac:dyDescent="0.25">
      <c r="A6" t="str">
        <f t="shared" si="0"/>
        <v xml:space="preserve">Conservador -Hidridos </v>
      </c>
      <c r="B6" t="s">
        <v>20</v>
      </c>
      <c r="C6" t="s">
        <v>27</v>
      </c>
      <c r="D6" s="5">
        <v>0.1</v>
      </c>
    </row>
    <row r="7" spans="1:4" x14ac:dyDescent="0.25">
      <c r="A7" t="str">
        <f t="shared" si="0"/>
        <v>Conservador -FOFs</v>
      </c>
      <c r="B7" t="s">
        <v>20</v>
      </c>
      <c r="C7" t="s">
        <v>28</v>
      </c>
      <c r="D7" s="5">
        <v>0.1</v>
      </c>
    </row>
    <row r="8" spans="1:4" x14ac:dyDescent="0.25">
      <c r="A8" t="str">
        <f t="shared" si="0"/>
        <v xml:space="preserve">Conservador -Desenvolvimentos </v>
      </c>
      <c r="B8" t="s">
        <v>20</v>
      </c>
      <c r="C8" t="s">
        <v>29</v>
      </c>
      <c r="D8" s="5">
        <v>0</v>
      </c>
    </row>
    <row r="9" spans="1:4" x14ac:dyDescent="0.25">
      <c r="A9" s="13" t="str">
        <f t="shared" si="0"/>
        <v>Conservador -Hotelarias</v>
      </c>
      <c r="B9" s="13" t="s">
        <v>20</v>
      </c>
      <c r="C9" s="13" t="s">
        <v>30</v>
      </c>
      <c r="D9" s="14">
        <v>0</v>
      </c>
    </row>
    <row r="10" spans="1:4" x14ac:dyDescent="0.25">
      <c r="A10" t="str">
        <f t="shared" si="0"/>
        <v>Moderado-Papel</v>
      </c>
      <c r="B10" t="s">
        <v>19</v>
      </c>
      <c r="C10" t="s">
        <v>25</v>
      </c>
      <c r="D10" s="5">
        <v>0.32</v>
      </c>
    </row>
    <row r="11" spans="1:4" x14ac:dyDescent="0.25">
      <c r="A11" t="str">
        <f t="shared" si="0"/>
        <v>Moderado-Tijolo</v>
      </c>
      <c r="B11" t="s">
        <v>19</v>
      </c>
      <c r="C11" t="s">
        <v>26</v>
      </c>
      <c r="D11" s="5">
        <v>0.35</v>
      </c>
    </row>
    <row r="12" spans="1:4" x14ac:dyDescent="0.25">
      <c r="A12" t="str">
        <f t="shared" si="0"/>
        <v xml:space="preserve">Moderado-Hidridos </v>
      </c>
      <c r="B12" t="s">
        <v>19</v>
      </c>
      <c r="C12" t="s">
        <v>27</v>
      </c>
      <c r="D12" s="5">
        <v>0.08</v>
      </c>
    </row>
    <row r="13" spans="1:4" x14ac:dyDescent="0.25">
      <c r="A13" t="str">
        <f t="shared" si="0"/>
        <v>Moderado-FOFs</v>
      </c>
      <c r="B13" t="s">
        <v>19</v>
      </c>
      <c r="C13" t="s">
        <v>28</v>
      </c>
      <c r="D13" s="5">
        <v>0.05</v>
      </c>
    </row>
    <row r="14" spans="1:4" x14ac:dyDescent="0.25">
      <c r="A14" t="str">
        <f t="shared" si="0"/>
        <v xml:space="preserve">Moderado-Desenvolvimentos </v>
      </c>
      <c r="B14" t="s">
        <v>19</v>
      </c>
      <c r="C14" t="s">
        <v>29</v>
      </c>
      <c r="D14" s="5">
        <v>0.1</v>
      </c>
    </row>
    <row r="15" spans="1:4" x14ac:dyDescent="0.25">
      <c r="A15" s="13" t="str">
        <f t="shared" si="0"/>
        <v>Moderado-Hotelarias</v>
      </c>
      <c r="B15" s="13" t="s">
        <v>19</v>
      </c>
      <c r="C15" s="13" t="s">
        <v>30</v>
      </c>
      <c r="D15" s="14">
        <v>0.1</v>
      </c>
    </row>
    <row r="16" spans="1:4" x14ac:dyDescent="0.25">
      <c r="A16" t="str">
        <f t="shared" si="0"/>
        <v>Agressivo-Papel</v>
      </c>
      <c r="B16" t="s">
        <v>18</v>
      </c>
      <c r="C16" t="s">
        <v>25</v>
      </c>
      <c r="D16" s="5">
        <v>0.5</v>
      </c>
    </row>
    <row r="17" spans="1:4" x14ac:dyDescent="0.25">
      <c r="A17" t="str">
        <f t="shared" si="0"/>
        <v>Agressivo-Tijolo</v>
      </c>
      <c r="B17" t="s">
        <v>18</v>
      </c>
      <c r="C17" t="s">
        <v>26</v>
      </c>
      <c r="D17" s="5">
        <v>0.1</v>
      </c>
    </row>
    <row r="18" spans="1:4" x14ac:dyDescent="0.25">
      <c r="A18" t="str">
        <f t="shared" si="0"/>
        <v xml:space="preserve">Agressivo-Hidridos </v>
      </c>
      <c r="B18" t="s">
        <v>18</v>
      </c>
      <c r="C18" t="s">
        <v>27</v>
      </c>
      <c r="D18" s="5">
        <v>0.05</v>
      </c>
    </row>
    <row r="19" spans="1:4" x14ac:dyDescent="0.25">
      <c r="A19" t="str">
        <f t="shared" si="0"/>
        <v>Agressivo-FOFs</v>
      </c>
      <c r="B19" t="s">
        <v>18</v>
      </c>
      <c r="C19" t="s">
        <v>28</v>
      </c>
      <c r="D19" s="5">
        <v>0.05</v>
      </c>
    </row>
    <row r="20" spans="1:4" x14ac:dyDescent="0.25">
      <c r="A20" t="str">
        <f t="shared" si="0"/>
        <v xml:space="preserve">Agressivo-Desenvolvimentos </v>
      </c>
      <c r="B20" t="s">
        <v>18</v>
      </c>
      <c r="C20" t="s">
        <v>29</v>
      </c>
      <c r="D20" s="5">
        <v>0.2</v>
      </c>
    </row>
    <row r="21" spans="1:4" x14ac:dyDescent="0.25">
      <c r="A21" t="str">
        <f t="shared" si="0"/>
        <v>Agressivo-Hotelarias</v>
      </c>
      <c r="B21" t="s">
        <v>18</v>
      </c>
      <c r="C21" t="s">
        <v>30</v>
      </c>
      <c r="D21" s="5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Sheet</vt:lpstr>
      <vt:lpstr>Sheet_Base</vt:lpstr>
      <vt:lpstr>aportes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Departamento Tributos Centro do Guilherme</dc:creator>
  <cp:lastModifiedBy>Departamento Tributos Centro do Guilherme</cp:lastModifiedBy>
  <dcterms:created xsi:type="dcterms:W3CDTF">2026-09-24T12:30:48Z</dcterms:created>
  <dcterms:modified xsi:type="dcterms:W3CDTF">2026-09-24T18:37:52Z</dcterms:modified>
</cp:coreProperties>
</file>